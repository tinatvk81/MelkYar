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فروش" sheetId="2" state="visible" r:id="rId4"/>
    <sheet name="پیش‌خرید" sheetId="3" state="visible" r:id="rId5"/>
    <sheet name="اجاره" sheetId="4" state="visible" r:id="rId6"/>
    <sheet name="رهن_کام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<sst xmlns="http://schemas.openxmlformats.org/spreadsheetml/2006/main" count="321" uniqueCount="109">
  <si>
    <t xml:space="preserve">راهنمای استفاده از این فایل</t>
  </si>
  <si>
    <t xml:space="preserve">این فایل شامل ۴ شیت اصلی برای ثبت فایل‌های ملکی است: فروش، پیش‌خرید، اجاره، رهن_کامل</t>
  </si>
  <si>
    <t xml:space="preserve">سطر اول هر شیت = عنوان ستون‌ها (ثابت بماند)</t>
  </si>
  <si>
    <t xml:space="preserve">سطر دوم هر شیت (سبز رنگ) = یک نمونه پر شده برای الگو — قبل از وارد کردن اطلاعات واقعی حذفش کنید</t>
  </si>
  <si>
    <t xml:space="preserve">ستون «کد ملک» باید در کل مجموعه یکتا (Unique) باشد؛ پیشنهاد: S-0001 برای فروش، P-0001 پیش‌خرید، R-0001 اجاره، M-0001 رهن</t>
  </si>
  <si>
    <t xml:space="preserve">ستون «نام مشاور ثبت‌کننده» باید دقیقاً با نام کاربری مشاور در اپلیکیشن یکسان باشد تا در Import درست تخصیص داده شود</t>
  </si>
  <si>
    <t xml:space="preserve">تاریخ‌ها در همین اکسل به فرمت میلادی (مثل 2026-08-07) وارد شوند تا فرمول «روز تا پایان قرارداد» درست کار کند؛ در اپلیکیشن نهایی همه تاریخ‌ها به‌صورت شمسی هم نمایش داده می‌شوند</t>
  </si>
  <si>
    <t xml:space="preserve">قیمت‌ها فقط عدد، بدون کاما و بدون واحد وارد شود (مثال: 4200000000) — واحد: تومان</t>
  </si>
  <si>
    <t xml:space="preserve">ستون‌های بله/خیر را دقیقاً همان دو گزینه وارد کنید تا فیلتر برنامه درست کار کند</t>
  </si>
  <si>
    <t xml:space="preserve">شیت اجاره و رهن_کامل دارای ستون خودکار «روز تا پایان قرارداد» هستند که با فرمول محاسبه می‌شود</t>
  </si>
  <si>
    <t xml:space="preserve">کد ملک</t>
  </si>
  <si>
    <t xml:space="preserve">عنوان آگهی</t>
  </si>
  <si>
    <t xml:space="preserve">نوع ملک</t>
  </si>
  <si>
    <t xml:space="preserve">استان</t>
  </si>
  <si>
    <t xml:space="preserve">شهر</t>
  </si>
  <si>
    <t xml:space="preserve">منطقه/محله</t>
  </si>
  <si>
    <t xml:space="preserve">آدرس کامل</t>
  </si>
  <si>
    <t xml:space="preserve">لینک موقعیت (نقشه)</t>
  </si>
  <si>
    <t xml:space="preserve">متراژ زیربنا (متر)</t>
  </si>
  <si>
    <t xml:space="preserve">متراژ زمین (متر)</t>
  </si>
  <si>
    <t xml:space="preserve">تعداد اتاق خواب</t>
  </si>
  <si>
    <t xml:space="preserve">سال ساخت</t>
  </si>
  <si>
    <t xml:space="preserve">تعداد کل طبقات ساختمان</t>
  </si>
  <si>
    <t xml:space="preserve">طبقه واحد</t>
  </si>
  <si>
    <t xml:space="preserve">تعداد واحد در طبقه</t>
  </si>
  <si>
    <t xml:space="preserve">جهت ساختمان</t>
  </si>
  <si>
    <t xml:space="preserve">نوع سند</t>
  </si>
  <si>
    <t xml:space="preserve">آسانسور (بله/خیر)</t>
  </si>
  <si>
    <t xml:space="preserve">پارکینگ (تعداد)</t>
  </si>
  <si>
    <t xml:space="preserve">انباری (بله/خیر)</t>
  </si>
  <si>
    <t xml:space="preserve">بالکن (بله/خیر)</t>
  </si>
  <si>
    <t xml:space="preserve">امکانات رفاهی</t>
  </si>
  <si>
    <t xml:space="preserve">سیستم گرمایش</t>
  </si>
  <si>
    <t xml:space="preserve">سیستم سرمایش</t>
  </si>
  <si>
    <t xml:space="preserve">نوع کفپوش</t>
  </si>
  <si>
    <t xml:space="preserve">وضعیت بازسازی (بله/خیر)</t>
  </si>
  <si>
    <t xml:space="preserve">وضعیت واحد</t>
  </si>
  <si>
    <t xml:space="preserve">نام مالک</t>
  </si>
  <si>
    <t xml:space="preserve">شماره تماس مالک</t>
  </si>
  <si>
    <t xml:space="preserve">نوع فایل (انحصاری/غیرانحصاری)</t>
  </si>
  <si>
    <t xml:space="preserve">نام مشاور ثبت‌کننده</t>
  </si>
  <si>
    <t xml:space="preserve">تاریخ ثبت فایل</t>
  </si>
  <si>
    <t xml:space="preserve">تاریخ آخرین بروزرسانی</t>
  </si>
  <si>
    <t xml:space="preserve">وضعیت فایل</t>
  </si>
  <si>
    <t xml:space="preserve">توضیحات عمومی (نمایش به مشتری)</t>
  </si>
  <si>
    <t xml:space="preserve">یادداشت خصوصی مشاور</t>
  </si>
  <si>
    <t xml:space="preserve">پوشه/لینک تصاویر</t>
  </si>
  <si>
    <t xml:space="preserve">قیمت کل (تومان)</t>
  </si>
  <si>
    <t xml:space="preserve">قیمت هر متر (تومان)</t>
  </si>
  <si>
    <t xml:space="preserve">شرایط پرداخت (نقد/اقساط)</t>
  </si>
  <si>
    <t xml:space="preserve">مبلغ پیش‌پرداخت</t>
  </si>
  <si>
    <t xml:space="preserve">قابل معاوضه (بله/خیر)</t>
  </si>
  <si>
    <t xml:space="preserve">S-0001</t>
  </si>
  <si>
    <t xml:space="preserve">آپارتمان ۱۱۰ متری نوساز نیاوران</t>
  </si>
  <si>
    <t xml:space="preserve">آپارتمان مسکونی</t>
  </si>
  <si>
    <t xml:space="preserve">تهران</t>
  </si>
  <si>
    <t xml:space="preserve">نیاوران</t>
  </si>
  <si>
    <t xml:space="preserve">خیابان کامرانیه، پلاک ۱۲</t>
  </si>
  <si>
    <t xml:space="preserve">https://maps.google.com/?q=35.80,51.47</t>
  </si>
  <si>
    <t xml:space="preserve">-</t>
  </si>
  <si>
    <t xml:space="preserve">جنوبی</t>
  </si>
  <si>
    <t xml:space="preserve">تک برگ</t>
  </si>
  <si>
    <t xml:space="preserve">بله</t>
  </si>
  <si>
    <t xml:space="preserve">لابی، انباری، حیاط</t>
  </si>
  <si>
    <t xml:space="preserve">پکیج</t>
  </si>
  <si>
    <t xml:space="preserve">اسپلیت</t>
  </si>
  <si>
    <t xml:space="preserve">سرامیک</t>
  </si>
  <si>
    <t xml:space="preserve">خیر</t>
  </si>
  <si>
    <t xml:space="preserve">نوساز کلیدنخورده</t>
  </si>
  <si>
    <t xml:space="preserve">آقای محمدی</t>
  </si>
  <si>
    <t xml:space="preserve">0912xxxxxxx</t>
  </si>
  <si>
    <t xml:space="preserve">انحصاری</t>
  </si>
  <si>
    <t xml:space="preserve">مریم رضایی</t>
  </si>
  <si>
    <t xml:space="preserve">فعال</t>
  </si>
  <si>
    <t xml:space="preserve">واحد فول امکانات، نورگیر عالی</t>
  </si>
  <si>
    <t xml:space="preserve">مالک عجله دارد، قابل تخفیف تا ۲٪</t>
  </si>
  <si>
    <t xml:space="preserve">https://drive.google.com/xxxx</t>
  </si>
  <si>
    <t xml:space="preserve">نقد</t>
  </si>
  <si>
    <t xml:space="preserve">قیمت کل قرارداد (تومان)</t>
  </si>
  <si>
    <t xml:space="preserve">شرکت/سازنده</t>
  </si>
  <si>
    <t xml:space="preserve">درصد پیشرفت پروژه</t>
  </si>
  <si>
    <t xml:space="preserve">تاریخ تحویل تخمینی</t>
  </si>
  <si>
    <t xml:space="preserve">مبلغ پرداخت‌شده تاکنون</t>
  </si>
  <si>
    <t xml:space="preserve">مبلغ باقی‌مانده</t>
  </si>
  <si>
    <t xml:space="preserve">شرایط اقساط باقی‌مانده</t>
  </si>
  <si>
    <t xml:space="preserve">شماره قرارداد پیش‌فروش</t>
  </si>
  <si>
    <t xml:space="preserve">شرکت عمران البرز</t>
  </si>
  <si>
    <t xml:space="preserve">60%</t>
  </si>
  <si>
    <t xml:space="preserve">۴ قسط ۳ماهه</t>
  </si>
  <si>
    <t xml:space="preserve">PF-1023</t>
  </si>
  <si>
    <t xml:space="preserve">مبلغ ودیعه/رهن (تومان)</t>
  </si>
  <si>
    <t xml:space="preserve">مبلغ اجاره ماهانه (تومان)</t>
  </si>
  <si>
    <t xml:space="preserve">تاریخ شروع قرارداد</t>
  </si>
  <si>
    <t xml:space="preserve">تاریخ پایان قرارداد</t>
  </si>
  <si>
    <t xml:space="preserve">روز تا پایان قرارداد</t>
  </si>
  <si>
    <t xml:space="preserve">نام مستاجر فعلی</t>
  </si>
  <si>
    <t xml:space="preserve">شماره تماس مستاجر فعلی</t>
  </si>
  <si>
    <t xml:space="preserve">قابل تبدیل رهن/اجاره (بله/خیر)</t>
  </si>
  <si>
    <t xml:space="preserve">درصد افزایش سالانه پیشنهادی</t>
  </si>
  <si>
    <t xml:space="preserve">وضعیت تمدید</t>
  </si>
  <si>
    <t xml:space="preserve">نتیجه آخرین تماس</t>
  </si>
  <si>
    <t xml:space="preserve">تاریخ تماس بعدی</t>
  </si>
  <si>
    <t xml:space="preserve">آقای احمدی</t>
  </si>
  <si>
    <t xml:space="preserve">0935xxxxxxx</t>
  </si>
  <si>
    <t xml:space="preserve">25%</t>
  </si>
  <si>
    <t xml:space="preserve">بررسی نشده</t>
  </si>
  <si>
    <t xml:space="preserve">مبلغ رهن کامل (تومان)</t>
  </si>
  <si>
    <t xml:space="preserve">خانم کریمی</t>
  </si>
  <si>
    <t xml:space="preserve">0919xxxxxxx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</si>
</sst>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2" min="1" style="0" width="18"/>
  </cols>
  <sheetData>
    <row r="1" customFormat="false" ht="33.7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</row>
    <row r="2" customFormat="false" ht="35.05" hidden="false" customHeight="fals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55</v>
      </c>
      <c r="F2" s="4" t="s">
        <v>56</v>
      </c>
      <c r="G2" s="4" t="s">
        <v>57</v>
      </c>
      <c r="H2" s="4" t="s">
        <v>58</v>
      </c>
      <c r="I2" s="4" t="n">
        <v>110</v>
      </c>
      <c r="J2" s="4" t="s">
        <v>59</v>
      </c>
      <c r="K2" s="4" t="n">
        <v>2</v>
      </c>
      <c r="L2" s="4" t="n">
        <v>1402</v>
      </c>
      <c r="M2" s="4" t="n">
        <v>6</v>
      </c>
      <c r="N2" s="4" t="n">
        <v>3</v>
      </c>
      <c r="O2" s="4" t="n">
        <v>1</v>
      </c>
      <c r="P2" s="4" t="s">
        <v>60</v>
      </c>
      <c r="Q2" s="4" t="s">
        <v>61</v>
      </c>
      <c r="R2" s="4" t="s">
        <v>62</v>
      </c>
      <c r="S2" s="4" t="n">
        <v>1</v>
      </c>
      <c r="T2" s="4" t="s">
        <v>62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68</v>
      </c>
      <c r="AB2" s="4" t="s">
        <v>69</v>
      </c>
      <c r="AC2" s="4" t="s">
        <v>70</v>
      </c>
      <c r="AD2" s="4" t="s">
        <v>71</v>
      </c>
      <c r="AE2" s="4" t="s">
        <v>72</v>
      </c>
      <c r="AF2" s="5" t="n">
        <v>46223</v>
      </c>
      <c r="AG2" s="5" t="n">
        <v>46235</v>
      </c>
      <c r="AH2" s="4" t="s">
        <v>73</v>
      </c>
      <c r="AI2" s="4" t="s">
        <v>74</v>
      </c>
      <c r="AJ2" s="4" t="s">
        <v>75</v>
      </c>
      <c r="AK2" s="4" t="s">
        <v>76</v>
      </c>
      <c r="AL2" s="4" t="n">
        <v>4200000000</v>
      </c>
      <c r="AM2" s="4" t="n">
        <v>38181818</v>
      </c>
      <c r="AN2" s="4" t="s">
        <v>77</v>
      </c>
      <c r="AO2" s="4" t="s">
        <v>59</v>
      </c>
      <c r="AP2" s="4" t="s">
        <v>67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5" min="1" style="0" width="18"/>
  </cols>
  <sheetData>
    <row r="1" customFormat="false" ht="33.7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78</v>
      </c>
      <c r="AM1" s="3" t="s">
        <v>79</v>
      </c>
      <c r="AN1" s="3" t="s">
        <v>80</v>
      </c>
      <c r="AO1" s="3" t="s">
        <v>81</v>
      </c>
      <c r="AP1" s="3" t="s">
        <v>82</v>
      </c>
      <c r="AQ1" s="3" t="s">
        <v>83</v>
      </c>
      <c r="AR1" s="3" t="s">
        <v>84</v>
      </c>
      <c r="AS1" s="3" t="s">
        <v>85</v>
      </c>
    </row>
    <row r="2" customFormat="false" ht="35.05" hidden="false" customHeight="fals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55</v>
      </c>
      <c r="F2" s="4" t="s">
        <v>56</v>
      </c>
      <c r="G2" s="4" t="s">
        <v>57</v>
      </c>
      <c r="H2" s="4" t="s">
        <v>58</v>
      </c>
      <c r="I2" s="4" t="n">
        <v>110</v>
      </c>
      <c r="J2" s="4" t="s">
        <v>59</v>
      </c>
      <c r="K2" s="4" t="n">
        <v>2</v>
      </c>
      <c r="L2" s="4" t="n">
        <v>1402</v>
      </c>
      <c r="M2" s="4" t="n">
        <v>6</v>
      </c>
      <c r="N2" s="4" t="n">
        <v>3</v>
      </c>
      <c r="O2" s="4" t="n">
        <v>1</v>
      </c>
      <c r="P2" s="4" t="s">
        <v>60</v>
      </c>
      <c r="Q2" s="4" t="s">
        <v>61</v>
      </c>
      <c r="R2" s="4" t="s">
        <v>62</v>
      </c>
      <c r="S2" s="4" t="n">
        <v>1</v>
      </c>
      <c r="T2" s="4" t="s">
        <v>62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68</v>
      </c>
      <c r="AB2" s="4" t="s">
        <v>69</v>
      </c>
      <c r="AC2" s="4" t="s">
        <v>70</v>
      </c>
      <c r="AD2" s="4" t="s">
        <v>71</v>
      </c>
      <c r="AE2" s="4" t="s">
        <v>72</v>
      </c>
      <c r="AF2" s="5" t="n">
        <v>46223</v>
      </c>
      <c r="AG2" s="5" t="n">
        <v>46235</v>
      </c>
      <c r="AH2" s="4" t="s">
        <v>73</v>
      </c>
      <c r="AI2" s="4" t="s">
        <v>74</v>
      </c>
      <c r="AJ2" s="4" t="s">
        <v>75</v>
      </c>
      <c r="AK2" s="4" t="s">
        <v>76</v>
      </c>
      <c r="AL2" s="4" t="n">
        <v>3800000000</v>
      </c>
      <c r="AM2" s="4" t="s">
        <v>86</v>
      </c>
      <c r="AN2" s="4" t="s">
        <v>87</v>
      </c>
      <c r="AO2" s="5" t="n">
        <v>46438</v>
      </c>
      <c r="AP2" s="4" t="n">
        <v>1500000000</v>
      </c>
      <c r="AQ2" s="4" t="n">
        <v>2300000000</v>
      </c>
      <c r="AR2" s="4" t="s">
        <v>88</v>
      </c>
      <c r="AS2" s="4" t="s">
        <v>89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9" min="1" style="0" width="18"/>
  </cols>
  <sheetData>
    <row r="1" customFormat="false" ht="33.7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98</v>
      </c>
      <c r="AU1" s="3" t="s">
        <v>99</v>
      </c>
      <c r="AV1" s="3" t="s">
        <v>100</v>
      </c>
      <c r="AW1" s="3" t="s">
        <v>101</v>
      </c>
    </row>
    <row r="2" customFormat="false" ht="35.05" hidden="false" customHeight="fals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55</v>
      </c>
      <c r="F2" s="4" t="s">
        <v>56</v>
      </c>
      <c r="G2" s="4" t="s">
        <v>57</v>
      </c>
      <c r="H2" s="4" t="s">
        <v>58</v>
      </c>
      <c r="I2" s="4" t="n">
        <v>110</v>
      </c>
      <c r="J2" s="4" t="s">
        <v>59</v>
      </c>
      <c r="K2" s="4" t="n">
        <v>2</v>
      </c>
      <c r="L2" s="4" t="n">
        <v>1402</v>
      </c>
      <c r="M2" s="4" t="n">
        <v>6</v>
      </c>
      <c r="N2" s="4" t="n">
        <v>3</v>
      </c>
      <c r="O2" s="4" t="n">
        <v>1</v>
      </c>
      <c r="P2" s="4" t="s">
        <v>60</v>
      </c>
      <c r="Q2" s="4" t="s">
        <v>61</v>
      </c>
      <c r="R2" s="4" t="s">
        <v>62</v>
      </c>
      <c r="S2" s="4" t="n">
        <v>1</v>
      </c>
      <c r="T2" s="4" t="s">
        <v>62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68</v>
      </c>
      <c r="AB2" s="4" t="s">
        <v>69</v>
      </c>
      <c r="AC2" s="4" t="s">
        <v>70</v>
      </c>
      <c r="AD2" s="4" t="s">
        <v>71</v>
      </c>
      <c r="AE2" s="4" t="s">
        <v>72</v>
      </c>
      <c r="AF2" s="5" t="n">
        <v>46223</v>
      </c>
      <c r="AG2" s="5" t="n">
        <v>46235</v>
      </c>
      <c r="AH2" s="4" t="s">
        <v>73</v>
      </c>
      <c r="AI2" s="4" t="s">
        <v>74</v>
      </c>
      <c r="AJ2" s="4" t="s">
        <v>75</v>
      </c>
      <c r="AK2" s="4" t="s">
        <v>76</v>
      </c>
      <c r="AL2" s="4" t="n">
        <v>150000000</v>
      </c>
      <c r="AM2" s="4" t="n">
        <v>12000000</v>
      </c>
      <c r="AN2" s="5" t="n">
        <v>45907</v>
      </c>
      <c r="AO2" s="5" t="n">
        <v>46272</v>
      </c>
      <c r="AP2" s="4" t="n">
        <f aca="true">IF(AO2="","",AO2-TODAY())</f>
        <v>31</v>
      </c>
      <c r="AQ2" s="4" t="s">
        <v>102</v>
      </c>
      <c r="AR2" s="4" t="s">
        <v>103</v>
      </c>
      <c r="AS2" s="4" t="s">
        <v>62</v>
      </c>
      <c r="AT2" s="4" t="s">
        <v>104</v>
      </c>
      <c r="AU2" s="4" t="s">
        <v>105</v>
      </c>
      <c r="AV2" s="4" t="s">
        <v>59</v>
      </c>
      <c r="AW2" s="5" t="n">
        <v>46244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6" min="1" style="0" width="18"/>
  </cols>
  <sheetData>
    <row r="1" customFormat="false" ht="33.7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106</v>
      </c>
      <c r="AM1" s="3" t="s">
        <v>92</v>
      </c>
      <c r="AN1" s="3" t="s">
        <v>93</v>
      </c>
      <c r="AO1" s="3" t="s">
        <v>94</v>
      </c>
      <c r="AP1" s="3" t="s">
        <v>95</v>
      </c>
      <c r="AQ1" s="3" t="s">
        <v>96</v>
      </c>
      <c r="AR1" s="3" t="s">
        <v>99</v>
      </c>
      <c r="AS1" s="3" t="s">
        <v>100</v>
      </c>
      <c r="AT1" s="3" t="s">
        <v>101</v>
      </c>
    </row>
    <row r="2" customFormat="false" ht="35.05" hidden="false" customHeight="fals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55</v>
      </c>
      <c r="F2" s="4" t="s">
        <v>56</v>
      </c>
      <c r="G2" s="4" t="s">
        <v>57</v>
      </c>
      <c r="H2" s="4" t="s">
        <v>58</v>
      </c>
      <c r="I2" s="4" t="n">
        <v>110</v>
      </c>
      <c r="J2" s="4" t="s">
        <v>59</v>
      </c>
      <c r="K2" s="4" t="n">
        <v>2</v>
      </c>
      <c r="L2" s="4" t="n">
        <v>1402</v>
      </c>
      <c r="M2" s="4" t="n">
        <v>6</v>
      </c>
      <c r="N2" s="4" t="n">
        <v>3</v>
      </c>
      <c r="O2" s="4" t="n">
        <v>1</v>
      </c>
      <c r="P2" s="4" t="s">
        <v>60</v>
      </c>
      <c r="Q2" s="4" t="s">
        <v>61</v>
      </c>
      <c r="R2" s="4" t="s">
        <v>62</v>
      </c>
      <c r="S2" s="4" t="n">
        <v>1</v>
      </c>
      <c r="T2" s="4" t="s">
        <v>62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68</v>
      </c>
      <c r="AB2" s="4" t="s">
        <v>69</v>
      </c>
      <c r="AC2" s="4" t="s">
        <v>70</v>
      </c>
      <c r="AD2" s="4" t="s">
        <v>71</v>
      </c>
      <c r="AE2" s="4" t="s">
        <v>72</v>
      </c>
      <c r="AF2" s="5" t="n">
        <v>46223</v>
      </c>
      <c r="AG2" s="5" t="n">
        <v>46235</v>
      </c>
      <c r="AH2" s="4" t="s">
        <v>73</v>
      </c>
      <c r="AI2" s="4" t="s">
        <v>74</v>
      </c>
      <c r="AJ2" s="4" t="s">
        <v>75</v>
      </c>
      <c r="AK2" s="4" t="s">
        <v>76</v>
      </c>
      <c r="AL2" s="4" t="n">
        <v>2200000000</v>
      </c>
      <c r="AM2" s="5" t="n">
        <v>45931</v>
      </c>
      <c r="AN2" s="5" t="n">
        <v>46296</v>
      </c>
      <c r="AO2" s="4" t="n">
        <f aca="true">IF(AN2="","",AN2-TODAY())</f>
        <v>55</v>
      </c>
      <c r="AP2" s="4" t="s">
        <v>107</v>
      </c>
      <c r="AQ2" s="4" t="s">
        <v>108</v>
      </c>
      <c r="AR2" s="4" t="s">
        <v>105</v>
      </c>
      <c r="AS2" s="4" t="s">
        <v>59</v>
      </c>
      <c r="AT2" s="5" t="n">
        <v>46285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2026-08-07T14:44:01Z</dcterms:created>
  <dc:creator>openpyxl</dc:creator>
  <dc:description/>
  <dc:language>en-US</dc:language>
  <cp:lastModifiedBy/>
  <dcterms:modified xsi:type="dcterms:W3CDTF">2026-08-07T14:44:02Z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